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kesh\MapUp-DA-Assessment-2024\submissions\"/>
    </mc:Choice>
  </mc:AlternateContent>
  <xr:revisionPtr revIDLastSave="0" documentId="13_ncr:1_{C16E3B2C-2F6F-4225-B357-7A86A90FB90C}" xr6:coauthVersionLast="36" xr6:coauthVersionMax="47" xr10:uidLastSave="{00000000-0000-0000-0000-000000000000}"/>
  <bookViews>
    <workbookView xWindow="0" yWindow="495" windowWidth="29400" windowHeight="16305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6" i="20" l="1"/>
  <c r="C25" i="20"/>
  <c r="C24" i="20"/>
  <c r="C35" i="20"/>
  <c r="C34" i="20"/>
  <c r="C33" i="20"/>
  <c r="C32" i="20"/>
  <c r="C31" i="20"/>
  <c r="C30" i="20"/>
  <c r="C29" i="20"/>
  <c r="C28" i="20"/>
  <c r="C27" i="20"/>
  <c r="C23" i="20"/>
  <c r="F30" i="18"/>
  <c r="F29" i="18"/>
  <c r="F28" i="18"/>
  <c r="E30" i="18"/>
  <c r="E29" i="18"/>
  <c r="E28" i="18"/>
  <c r="D30" i="18"/>
  <c r="D29" i="18"/>
  <c r="D28" i="18"/>
  <c r="F27" i="18"/>
  <c r="F25" i="18"/>
  <c r="F26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C6" i="18"/>
  <c r="C30" i="18" s="1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9" i="18"/>
  <c r="B10" i="18"/>
  <c r="B8" i="18"/>
  <c r="B7" i="18"/>
  <c r="B6" i="18"/>
  <c r="C22" i="19"/>
  <c r="V46" i="1"/>
  <c r="V45" i="1"/>
  <c r="V44" i="1"/>
  <c r="T46" i="1"/>
  <c r="T45" i="1"/>
  <c r="T44" i="1"/>
  <c r="R46" i="1"/>
  <c r="R45" i="1"/>
  <c r="R44" i="1"/>
  <c r="N46" i="1"/>
  <c r="N45" i="1"/>
  <c r="N44" i="1"/>
  <c r="G46" i="1"/>
  <c r="G45" i="1"/>
  <c r="G44" i="1"/>
  <c r="H42" i="1"/>
  <c r="C28" i="18" l="1"/>
  <c r="C29" i="18"/>
</calcChain>
</file>

<file path=xl/sharedStrings.xml><?xml version="1.0" encoding="utf-8"?>
<sst xmlns="http://schemas.openxmlformats.org/spreadsheetml/2006/main" count="409" uniqueCount="183">
  <si>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</si>
  <si>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</si>
  <si>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</si>
  <si>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</si>
  <si>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</si>
  <si>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</si>
  <si>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</si>
  <si>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</si>
  <si>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</si>
  <si>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</si>
  <si>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</si>
  <si>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</si>
  <si>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</si>
  <si>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</si>
  <si>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</si>
  <si>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</si>
  <si>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</si>
  <si>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</si>
  <si>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</si>
  <si>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</si>
  <si>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</si>
  <si>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</si>
  <si>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</si>
  <si>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</si>
  <si>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</si>
  <si>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</si>
  <si>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</si>
  <si>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</si>
  <si>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</si>
  <si>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</si>
  <si>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</si>
  <si>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</si>
  <si>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</si>
  <si>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</si>
  <si>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</si>
  <si>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</si>
  <si>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</si>
  <si>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</si>
  <si>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</si>
  <si>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</si>
  <si>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</si>
  <si>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</si>
  <si>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</si>
  <si>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</si>
  <si>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</si>
  <si>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</si>
  <si>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</si>
  <si>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</si>
  <si>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</si>
  <si>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</si>
  <si>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</si>
  <si>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</si>
  <si>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</si>
  <si>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</si>
  <si>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</si>
  <si>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</si>
  <si>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</si>
  <si>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</si>
  <si>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</si>
  <si>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</si>
  <si>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</si>
  <si>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</si>
  <si>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</si>
  <si>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</si>
  <si>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</si>
  <si>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</si>
  <si>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</si>
  <si>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</si>
  <si>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</si>
  <si>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</si>
  <si>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</si>
  <si>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</si>
  <si>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</si>
  <si>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</si>
  <si>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</si>
  <si>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</si>
  <si>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</si>
  <si>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</si>
  <si>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</si>
  <si>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</si>
  <si>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</si>
  <si>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</si>
  <si>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</si>
  <si>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</si>
  <si>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</si>
  <si>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</si>
  <si>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</si>
  <si>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</si>
  <si>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</si>
  <si>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</si>
  <si>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</si>
  <si>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</si>
  <si>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</si>
  <si>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</si>
  <si>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</si>
  <si>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</si>
  <si>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</si>
  <si>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</si>
  <si>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</si>
  <si>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</si>
  <si>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</si>
  <si>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</si>
  <si>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</si>
  <si>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</si>
  <si>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</si>
  <si>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</si>
  <si>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</si>
  <si>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</si>
  <si>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</si>
  <si>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</si>
  <si>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</si>
  <si>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</si>
  <si>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</si>
  <si>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</si>
  <si>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</si>
  <si>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</si>
  <si>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</si>
  <si>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</si>
  <si>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</si>
  <si>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</si>
  <si>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</si>
  <si>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</si>
  <si>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</si>
  <si>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</si>
  <si>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</si>
  <si>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</si>
  <si>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</si>
  <si>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</si>
  <si>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</si>
  <si>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</si>
  <si>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</si>
  <si>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</si>
  <si>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</si>
  <si>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</si>
  <si>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</si>
  <si>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</si>
  <si>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</si>
  <si>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</si>
  <si>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</si>
  <si>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</si>
  <si>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</si>
  <si>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</si>
  <si>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</si>
  <si>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</si>
  <si>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</si>
  <si>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</si>
  <si>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</si>
  <si>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</si>
  <si>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</si>
  <si>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</si>
  <si>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</si>
  <si>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</si>
  <si>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</si>
  <si>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</si>
  <si>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</si>
  <si>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</si>
  <si>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</si>
  <si>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</si>
  <si>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</si>
  <si>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</si>
  <si>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</si>
  <si>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</si>
  <si>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</si>
  <si>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</si>
  <si>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</si>
  <si>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</si>
  <si>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</si>
  <si>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</si>
  <si>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</si>
  <si>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</si>
  <si>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</si>
  <si>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</si>
  <si>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</si>
  <si>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</si>
  <si>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</si>
  <si>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</si>
  <si>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</si>
  <si>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</si>
  <si>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 "&gt;20")</t>
  </si>
  <si>
    <t>Sum of all values greater than '20'</t>
  </si>
  <si>
    <t>Using Text to Columns : Select the Cell: Click on the cell containing the text 20000-Monday-0-Sunday-24, Go to Data Tab: Click on the Data tab</t>
  </si>
  <si>
    <t>Text to Columns: Click on Text to Columns in the Data Tools group, Choose Delimited (""-""): In the wizard that appears, select Delimited and click Next,Choose Destination: You can specify where you want the split data to go (the default is the same cell). Click Finish.</t>
  </si>
  <si>
    <r>
      <t xml:space="preserve">Using Replace functionality Replaced </t>
    </r>
    <r>
      <rPr>
        <b/>
        <sz val="11"/>
        <color rgb="FF000000"/>
        <rFont val="Calibri"/>
        <family val="2"/>
        <scheme val="minor"/>
      </rPr>
      <t>#N/A</t>
    </r>
    <r>
      <rPr>
        <sz val="11"/>
        <color rgb="FF000000"/>
        <rFont val="Calibri"/>
        <family val="2"/>
        <scheme val="minor"/>
      </rPr>
      <t xml:space="preserve"> with Value "20" and then used SUM(C12:C21) to calculate Sum of that sales column.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</si>
</sst>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2" fontId="3" fillId="0" borderId="0" xfId="0" applyNumberFormat="1" applyFont="1"/>
    <xf numFmtId="2" fontId="3" fillId="5" borderId="1" xfId="0" applyNumberFormat="1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strike val="0"/>
        <color rgb="FF9C0006"/>
      </font>
    </dxf>
    <dxf>
      <font>
        <b val="0"/>
        <i val="0"/>
        <color theme="9" tint="-0.2499465926084170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strike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6"/>
  <sheetViews>
    <sheetView topLeftCell="H1" zoomScaleNormal="100" workbookViewId="0">
      <pane ySplit="1" topLeftCell="A17" activePane="bottomLeft" state="frozen"/>
      <selection pane="bottomLeft" activeCell="A32" sqref="A32:XFD32"/>
    </sheetView>
  </sheetViews>
  <sheetFormatPr defaultColWidth="9" defaultRowHeight="15" x14ac:dyDescent="0.25"/>
  <cols>
    <col min="1" max="1" width="36.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25">
      <c r="A42" s="1" t="s">
        <v>179</v>
      </c>
      <c r="H42" s="3">
        <f>SUMIF(H2:H40, "&gt;20")</f>
        <v>1473.0000000000002</v>
      </c>
    </row>
    <row r="44" spans="1:24" x14ac:dyDescent="0.25">
      <c r="A44" s="19" t="s">
        <v>82</v>
      </c>
      <c r="G44" s="1">
        <f xml:space="preserve"> MIN(G2:G40)</f>
        <v>-1</v>
      </c>
      <c r="N44" s="1">
        <f xml:space="preserve"> MIN(N2:N40)</f>
        <v>-1</v>
      </c>
      <c r="R44" s="1">
        <f xml:space="preserve"> MIN(R2:R40)</f>
        <v>-1</v>
      </c>
      <c r="T44" s="1">
        <f xml:space="preserve"> MIN(T2:T40)</f>
        <v>-1</v>
      </c>
      <c r="V44" s="1">
        <f xml:space="preserve"> MIN(V2:V40)</f>
        <v>-1</v>
      </c>
    </row>
    <row r="45" spans="1:24" x14ac:dyDescent="0.25">
      <c r="A45" s="19" t="s">
        <v>83</v>
      </c>
      <c r="G45" s="1">
        <f>MAX(G2:G40)</f>
        <v>51.8</v>
      </c>
      <c r="N45" s="1">
        <f>MAX(N2:N40)</f>
        <v>156.4</v>
      </c>
      <c r="R45" s="1">
        <f>MAX(R2:R40)</f>
        <v>93.1</v>
      </c>
      <c r="T45" s="1">
        <f>MAX(T2:T40)</f>
        <v>188.1</v>
      </c>
      <c r="V45" s="1">
        <f>MAX(V2:V40)</f>
        <v>93.1</v>
      </c>
    </row>
    <row r="46" spans="1:24" x14ac:dyDescent="0.25">
      <c r="A46" s="19" t="s">
        <v>84</v>
      </c>
      <c r="G46" s="48">
        <f xml:space="preserve"> AVERAGE(G2:G40)</f>
        <v>26.658974358974355</v>
      </c>
      <c r="N46" s="48">
        <f xml:space="preserve"> AVERAGE(N2:N40)</f>
        <v>79.930769230769243</v>
      </c>
      <c r="R46" s="48">
        <f xml:space="preserve"> AVERAGE(R2:R40)</f>
        <v>48.366666666666674</v>
      </c>
      <c r="T46" s="48">
        <f xml:space="preserve"> AVERAGE(T2:T40)</f>
        <v>97.789743589743594</v>
      </c>
      <c r="V46" s="48">
        <f xml:space="preserve"> AVERAGE(V2:V40)</f>
        <v>48.366666666666674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XFD1">
    <cfRule type="cellIs" dxfId="2" priority="3" operator="equal">
      <formula>-1</formula>
    </cfRule>
  </conditionalFormatting>
  <conditionalFormatting sqref="A1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B5" sqref="B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6" width="31" style="1" customWidth="1"/>
    <col min="7" max="16384" width="11" style="1"/>
  </cols>
  <sheetData>
    <row r="1" spans="1:6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6" x14ac:dyDescent="0.25">
      <c r="A2" s="2"/>
      <c r="B2" s="5" t="s">
        <v>160</v>
      </c>
      <c r="C2" s="2"/>
    </row>
    <row r="3" spans="1:6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6" x14ac:dyDescent="0.25">
      <c r="A4" s="6">
        <v>2</v>
      </c>
      <c r="B4" s="2" t="s">
        <v>46</v>
      </c>
      <c r="C4" s="2"/>
      <c r="E4" s="1">
        <v>5</v>
      </c>
    </row>
    <row r="5" spans="1:6" x14ac:dyDescent="0.25">
      <c r="A5" s="6">
        <v>3</v>
      </c>
      <c r="B5" s="2" t="s">
        <v>104</v>
      </c>
      <c r="C5" s="34" t="s">
        <v>105</v>
      </c>
      <c r="E5" s="1">
        <v>10</v>
      </c>
      <c r="F5" s="1" t="s">
        <v>178</v>
      </c>
    </row>
    <row r="6" spans="1:6" x14ac:dyDescent="0.25">
      <c r="A6" s="6">
        <v>4</v>
      </c>
      <c r="B6" s="2" t="s">
        <v>107</v>
      </c>
      <c r="C6" s="2"/>
      <c r="E6" s="1">
        <v>5</v>
      </c>
    </row>
    <row r="7" spans="1:6" x14ac:dyDescent="0.25">
      <c r="A7" s="2"/>
      <c r="B7" s="2"/>
      <c r="C7" s="2"/>
    </row>
    <row r="13" spans="1:6" x14ac:dyDescent="0.25">
      <c r="E13" s="2"/>
    </row>
    <row r="14" spans="1:6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4" sqref="H4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VLOOKUP(A6,Dataset!A2:X40,7,0)</f>
        <v>2.7</v>
      </c>
      <c r="C6" s="12">
        <f>VLOOKUP(A6,Dataset!A2:X40,14,0)</f>
        <v>7.6</v>
      </c>
      <c r="D6" s="12">
        <f>VLOOKUP(A6,Dataset!A2:X40,18,0)</f>
        <v>4.2</v>
      </c>
      <c r="E6" s="12">
        <f>VLOOKUP(A6,Dataset!A2:X40,20,0)</f>
        <v>8.9</v>
      </c>
      <c r="F6" s="8">
        <f>VLOOKUP(A6,Dataset!A2:X40,22,0)</f>
        <v>4.2</v>
      </c>
    </row>
    <row r="7" spans="1:7" ht="15" x14ac:dyDescent="0.25">
      <c r="A7" s="7" t="s">
        <v>4</v>
      </c>
      <c r="B7" s="12">
        <f>VLOOKUP(A7,Dataset!A2:X40,7,0)</f>
        <v>2.7</v>
      </c>
      <c r="C7" s="12">
        <f>VLOOKUP(A7,Dataset!A2:X40,14,0)</f>
        <v>7.6</v>
      </c>
      <c r="D7" s="12">
        <f>VLOOKUP(A7,Dataset!A2:X40,18,0)</f>
        <v>4.2</v>
      </c>
      <c r="E7" s="12">
        <f>VLOOKUP(A7,Dataset!A2:X40,20,0)</f>
        <v>8.9</v>
      </c>
      <c r="F7" s="8">
        <f>VLOOKUP(A7,Dataset!A2:X40,22,0)</f>
        <v>4.2</v>
      </c>
    </row>
    <row r="8" spans="1:7" ht="15" x14ac:dyDescent="0.25">
      <c r="A8" s="7" t="s">
        <v>7</v>
      </c>
      <c r="B8" s="12">
        <f>VLOOKUP(A8,Dataset!A2:X40,7,0)</f>
        <v>3.6</v>
      </c>
      <c r="C8" s="12">
        <f>VLOOKUP(A8,Dataset!A2:X40,14,0)</f>
        <v>11.1</v>
      </c>
      <c r="D8" s="12">
        <f>VLOOKUP(A8,Dataset!A2:X40,18,0)</f>
        <v>5.8</v>
      </c>
      <c r="E8" s="12">
        <f>VLOOKUP(A8,Dataset!A2:X40,20,0)</f>
        <v>12.2</v>
      </c>
      <c r="F8" s="8">
        <f>VLOOKUP(A8,Dataset!A2:X40,22,0)</f>
        <v>5.8</v>
      </c>
    </row>
    <row r="9" spans="1:7" ht="15" x14ac:dyDescent="0.25">
      <c r="A9" s="7" t="s">
        <v>8</v>
      </c>
      <c r="B9" s="12">
        <f>VLOOKUP(A9,Dataset!A2:X43,7,0)</f>
        <v>4.9000000000000004</v>
      </c>
      <c r="C9" s="12">
        <f>VLOOKUP(A9,Dataset!A2:X40,14,0)</f>
        <v>13.3</v>
      </c>
      <c r="D9" s="12">
        <f>VLOOKUP(A9,Dataset!A2:X40,18,0)</f>
        <v>8.1</v>
      </c>
      <c r="E9" s="12">
        <f>VLOOKUP(A9,Dataset!A2:X40,20,0)</f>
        <v>17</v>
      </c>
      <c r="F9" s="8">
        <f>VLOOKUP(A9,Dataset!A2:X40,22,0)</f>
        <v>8.1</v>
      </c>
    </row>
    <row r="10" spans="1:7" ht="15" x14ac:dyDescent="0.25">
      <c r="A10" s="7" t="s">
        <v>11</v>
      </c>
      <c r="B10" s="12">
        <f>VLOOKUP(A10,Dataset!A2:X40,7,0)</f>
        <v>9.4</v>
      </c>
      <c r="C10" s="12">
        <f>VLOOKUP(A10,Dataset!A2:X40,14,0)</f>
        <v>28.3</v>
      </c>
      <c r="D10" s="12">
        <f>VLOOKUP(A10,Dataset!A2:X40,18,0)</f>
        <v>16.100000000000001</v>
      </c>
      <c r="E10" s="12">
        <f>VLOOKUP(A10,Dataset!A2:X40,20,0)</f>
        <v>32.799999999999997</v>
      </c>
      <c r="F10" s="8">
        <f>VLOOKUP(A10,Dataset!A2:X40,22,0)</f>
        <v>16.100000000000001</v>
      </c>
    </row>
    <row r="11" spans="1:7" ht="15" x14ac:dyDescent="0.25">
      <c r="A11" s="7" t="s">
        <v>12</v>
      </c>
      <c r="B11" s="12">
        <f>VLOOKUP(A11,Dataset!A2:X45,7,0)</f>
        <v>11.6</v>
      </c>
      <c r="C11" s="12">
        <f>VLOOKUP(A11,Dataset!A2:X40,14,0)</f>
        <v>35.200000000000003</v>
      </c>
      <c r="D11" s="12">
        <f>VLOOKUP(A11,Dataset!A2:X40,18,0)</f>
        <v>21.3</v>
      </c>
      <c r="E11" s="12">
        <f>VLOOKUP(A11,Dataset!A2:X40,20,0)</f>
        <v>43</v>
      </c>
      <c r="F11" s="8">
        <f>VLOOKUP(A11,Dataset!A2:X40,22,0)</f>
        <v>21.3</v>
      </c>
    </row>
    <row r="12" spans="1:7" ht="15" x14ac:dyDescent="0.25">
      <c r="A12" s="7" t="s">
        <v>14</v>
      </c>
      <c r="B12" s="12">
        <f>VLOOKUP(A12,Dataset!A2:X40,7,0)</f>
        <v>18.399999999999999</v>
      </c>
      <c r="C12" s="12">
        <f>VLOOKUP(A12,Dataset!A2:X40,14,0)</f>
        <v>55.6</v>
      </c>
      <c r="D12" s="12">
        <f>VLOOKUP(A12,Dataset!A2:X40,18,0)</f>
        <v>33.799999999999997</v>
      </c>
      <c r="E12" s="12">
        <f>VLOOKUP(A12,Dataset!A2:X40,20,0)</f>
        <v>67.900000000000006</v>
      </c>
      <c r="F12" s="8">
        <f>VLOOKUP(A12,Dataset!A2:X40,22,0)</f>
        <v>33.799999999999997</v>
      </c>
    </row>
    <row r="13" spans="1:7" ht="15" x14ac:dyDescent="0.25">
      <c r="A13" s="7" t="s">
        <v>15</v>
      </c>
      <c r="B13" s="12">
        <f>VLOOKUP(A13,Dataset!A2:X40,7,0)</f>
        <v>0</v>
      </c>
      <c r="C13" s="12">
        <f>VLOOKUP(A13,Dataset!A2:X40,14,0)</f>
        <v>0</v>
      </c>
      <c r="D13" s="12">
        <f>VLOOKUP(A13,Dataset!A2:X40,18,0)</f>
        <v>0</v>
      </c>
      <c r="E13" s="12">
        <f>VLOOKUP(A13,Dataset!A2:X40,20,0)</f>
        <v>0</v>
      </c>
      <c r="F13" s="8">
        <f>VLOOKUP(A13,Dataset!A2:X40,22,0)</f>
        <v>0</v>
      </c>
    </row>
    <row r="14" spans="1:7" ht="15" x14ac:dyDescent="0.25">
      <c r="A14" s="7" t="s">
        <v>16</v>
      </c>
      <c r="B14" s="12">
        <f>VLOOKUP(A14,Dataset!A2:X40,7,0)</f>
        <v>21.9</v>
      </c>
      <c r="C14" s="12">
        <f>VLOOKUP(A14,Dataset!A2:X40,14,0)</f>
        <v>61.5</v>
      </c>
      <c r="D14" s="12">
        <f>VLOOKUP(A14,Dataset!A2:X40,18,0)</f>
        <v>40.1</v>
      </c>
      <c r="E14" s="12">
        <f>VLOOKUP(A14,Dataset!A2:X40,20,0)</f>
        <v>76.599999999999994</v>
      </c>
      <c r="F14" s="8">
        <f>VLOOKUP(A14,Dataset!A2:X40,22,0)</f>
        <v>40.1</v>
      </c>
    </row>
    <row r="15" spans="1:7" ht="15" x14ac:dyDescent="0.25">
      <c r="A15" s="7" t="s">
        <v>18</v>
      </c>
      <c r="B15" s="12">
        <f>VLOOKUP(A15,Dataset!A2:X40,7,0)</f>
        <v>26.8</v>
      </c>
      <c r="C15" s="12">
        <f>VLOOKUP(A15,Dataset!A2:X40,14,0)</f>
        <v>79.599999999999994</v>
      </c>
      <c r="D15" s="12">
        <f>VLOOKUP(A15,Dataset!A2:X40,18,0)</f>
        <v>47.9</v>
      </c>
      <c r="E15" s="12">
        <f>VLOOKUP(A15,Dataset!A2:X40,20,0)</f>
        <v>96.8</v>
      </c>
      <c r="F15" s="8">
        <f>VLOOKUP(A15,Dataset!A2:X40,22,0)</f>
        <v>47.9</v>
      </c>
    </row>
    <row r="16" spans="1:7" ht="15" x14ac:dyDescent="0.25">
      <c r="A16" s="7" t="s">
        <v>20</v>
      </c>
      <c r="B16" s="12">
        <f>VLOOKUP(A16,Dataset!A2:X40,7,0)</f>
        <v>28.5</v>
      </c>
      <c r="C16" s="12">
        <f>VLOOKUP(A16,Dataset!A2:X40,14,0)</f>
        <v>85.4</v>
      </c>
      <c r="D16" s="12">
        <f>VLOOKUP(A16,Dataset!A2:X40,18,0)</f>
        <v>52.3</v>
      </c>
      <c r="E16" s="12">
        <f>VLOOKUP(A16,Dataset!A2:X40,20,0)</f>
        <v>106.1</v>
      </c>
      <c r="F16" s="8">
        <f>VLOOKUP(A16,Dataset!A2:X40,22,0)</f>
        <v>52.3</v>
      </c>
    </row>
    <row r="17" spans="1:6" ht="15" x14ac:dyDescent="0.25">
      <c r="A17" s="7" t="s">
        <v>22</v>
      </c>
      <c r="B17" s="12">
        <f>VLOOKUP(A17,Dataset!A2:X40,7,0)</f>
        <v>30.7</v>
      </c>
      <c r="C17" s="12">
        <f>VLOOKUP(A17,Dataset!A2:X40,14,0)</f>
        <v>92.1</v>
      </c>
      <c r="D17" s="12">
        <f>VLOOKUP(A17,Dataset!A2:X40,18,0)</f>
        <v>57</v>
      </c>
      <c r="E17" s="12">
        <f>VLOOKUP(A17,Dataset!A2:X40,20,0)</f>
        <v>115.1</v>
      </c>
      <c r="F17" s="8">
        <f>VLOOKUP(A17,Dataset!A2:X40,22,0)</f>
        <v>57</v>
      </c>
    </row>
    <row r="18" spans="1:6" ht="15" x14ac:dyDescent="0.25">
      <c r="A18" s="7" t="s">
        <v>23</v>
      </c>
      <c r="B18" s="12">
        <f>VLOOKUP(A18,Dataset!A2:X40,7,0)</f>
        <v>33.799999999999997</v>
      </c>
      <c r="C18" s="12">
        <f>VLOOKUP(A18,Dataset!A2:X40,14,0)</f>
        <v>101.3</v>
      </c>
      <c r="D18" s="12">
        <f>VLOOKUP(A18,Dataset!A2:X40,18,0)</f>
        <v>61.4</v>
      </c>
      <c r="E18" s="12">
        <f>VLOOKUP(A18,Dataset!A2:X40,20,0)</f>
        <v>124.4</v>
      </c>
      <c r="F18" s="8">
        <f>VLOOKUP(A18,Dataset!A2:X40,22,0)</f>
        <v>61.4</v>
      </c>
    </row>
    <row r="19" spans="1:6" ht="15" x14ac:dyDescent="0.25">
      <c r="A19" s="7" t="s">
        <v>24</v>
      </c>
      <c r="B19" s="12">
        <f>VLOOKUP(A19,Dataset!A2:X40,7,0)</f>
        <v>34.700000000000003</v>
      </c>
      <c r="C19" s="12">
        <f>VLOOKUP(A19,Dataset!A2:X40,14,0)</f>
        <v>106.1</v>
      </c>
      <c r="D19" s="12">
        <f>VLOOKUP(A19,Dataset!A2:X40,18,0)</f>
        <v>63.6</v>
      </c>
      <c r="E19" s="12">
        <f>VLOOKUP(A19,Dataset!A2:X40,20,0)</f>
        <v>128.6</v>
      </c>
      <c r="F19" s="8">
        <f>VLOOKUP(A19,Dataset!A2:X40,22,0)</f>
        <v>63.6</v>
      </c>
    </row>
    <row r="20" spans="1:6" ht="15" x14ac:dyDescent="0.25">
      <c r="A20" s="7" t="s">
        <v>28</v>
      </c>
      <c r="B20" s="12">
        <f>VLOOKUP(A20,Dataset!A2:X40,7,0)</f>
        <v>0</v>
      </c>
      <c r="C20" s="12">
        <f>VLOOKUP(A20,Dataset!A2:X40,14,0)</f>
        <v>0</v>
      </c>
      <c r="D20" s="12">
        <f>VLOOKUP(A20,Dataset!A2:X40,18,0)</f>
        <v>0</v>
      </c>
      <c r="E20" s="12">
        <f>VLOOKUP(A20,Dataset!A2:X40,20,0)</f>
        <v>0</v>
      </c>
      <c r="F20" s="8">
        <f>VLOOKUP(A20,Dataset!A2:X40,22,0)</f>
        <v>0</v>
      </c>
    </row>
    <row r="21" spans="1:6" ht="15" x14ac:dyDescent="0.25">
      <c r="A21" s="7" t="s">
        <v>57</v>
      </c>
      <c r="B21" s="12">
        <f>VLOOKUP(A21,Dataset!A2:X40,7,0)</f>
        <v>41.3</v>
      </c>
      <c r="C21" s="12">
        <f>VLOOKUP(A21,Dataset!A2:X40,14,0)</f>
        <v>124.4</v>
      </c>
      <c r="D21" s="12">
        <f>VLOOKUP(A21,Dataset!A2:X40,18,0)</f>
        <v>75</v>
      </c>
      <c r="E21" s="12">
        <f>VLOOKUP(A21,Dataset!A2:X40,20,0)</f>
        <v>151.5</v>
      </c>
      <c r="F21" s="8">
        <f>VLOOKUP(A21,Dataset!A2:X40,22,0)</f>
        <v>75</v>
      </c>
    </row>
    <row r="22" spans="1:6" ht="15" x14ac:dyDescent="0.25">
      <c r="A22" s="7" t="s">
        <v>58</v>
      </c>
      <c r="B22" s="12">
        <f>VLOOKUP(A22,Dataset!A2:X40,7,0)</f>
        <v>-1</v>
      </c>
      <c r="C22" s="12">
        <f>VLOOKUP(A22,Dataset!A2:X40,14,0)</f>
        <v>-1</v>
      </c>
      <c r="D22" s="12">
        <f>VLOOKUP(A22,Dataset!A2:X40,18,0)</f>
        <v>-1</v>
      </c>
      <c r="E22" s="12">
        <f>VLOOKUP(A22,Dataset!A2:X40,20,0)</f>
        <v>-1</v>
      </c>
      <c r="F22" s="8">
        <f>VLOOKUP(A22,Dataset!A2:X40,22,0)</f>
        <v>-1</v>
      </c>
    </row>
    <row r="23" spans="1:6" ht="15" x14ac:dyDescent="0.25">
      <c r="A23" s="7" t="s">
        <v>31</v>
      </c>
      <c r="B23" s="12">
        <f>VLOOKUP(A23,Dataset!A2:X40,7,0)</f>
        <v>45</v>
      </c>
      <c r="C23" s="12">
        <f>VLOOKUP(A23,Dataset!A2:X40,14,0)</f>
        <v>133.4</v>
      </c>
      <c r="D23" s="12">
        <f>VLOOKUP(A23,Dataset!A2:X40,18,0)</f>
        <v>79.400000000000006</v>
      </c>
      <c r="E23" s="12">
        <f>VLOOKUP(A23,Dataset!A2:X40,20,0)</f>
        <v>160.9</v>
      </c>
      <c r="F23" s="8">
        <f>VLOOKUP(A23,Dataset!A2:X40,22,0)</f>
        <v>79.400000000000006</v>
      </c>
    </row>
    <row r="24" spans="1:6" ht="15" x14ac:dyDescent="0.25">
      <c r="A24" s="7" t="s">
        <v>32</v>
      </c>
      <c r="B24" s="12">
        <f>VLOOKUP(A24,Dataset!A2:X40,7,0)</f>
        <v>-1</v>
      </c>
      <c r="C24" s="12">
        <f>VLOOKUP(A24,Dataset!A2:X40,14,0)</f>
        <v>-1</v>
      </c>
      <c r="D24" s="12">
        <f>VLOOKUP(A24,Dataset!A2:X40,18,0)</f>
        <v>-1</v>
      </c>
      <c r="E24" s="12">
        <f>VLOOKUP(A24,Dataset!A2:X40,20,0)</f>
        <v>-1</v>
      </c>
      <c r="F24" s="8">
        <f>VLOOKUP(A24,Dataset!A2:X40,22,0)</f>
        <v>-1</v>
      </c>
    </row>
    <row r="25" spans="1:6" ht="15" x14ac:dyDescent="0.25">
      <c r="A25" s="7" t="s">
        <v>34</v>
      </c>
      <c r="B25" s="12">
        <f>VLOOKUP(A25,Dataset!A2:X40,7,0)</f>
        <v>43.3</v>
      </c>
      <c r="C25" s="12">
        <f>VLOOKUP(A25,Dataset!A2:X40,14,0)</f>
        <v>128.6</v>
      </c>
      <c r="D25" s="12">
        <f>VLOOKUP(A25,Dataset!A2:X40,18,0)</f>
        <v>79.400000000000006</v>
      </c>
      <c r="E25" s="12">
        <f>VLOOKUP(A25,Dataset!A2:X40,20,0)</f>
        <v>160.9</v>
      </c>
      <c r="F25" s="8">
        <f>VLOOKUP(A25,Dataset!A2:X40,22,0)</f>
        <v>79.400000000000006</v>
      </c>
    </row>
    <row r="26" spans="1:6" ht="15" x14ac:dyDescent="0.25">
      <c r="A26" s="7" t="s">
        <v>37</v>
      </c>
      <c r="B26" s="12">
        <f>VLOOKUP(A26,Dataset!A2:X40,7,0)</f>
        <v>49.1</v>
      </c>
      <c r="C26" s="12">
        <f>VLOOKUP(A26,Dataset!A2:X40,14,0)</f>
        <v>146.80000000000001</v>
      </c>
      <c r="D26" s="12">
        <f>VLOOKUP(A26,Dataset!A2:X40,18,0)</f>
        <v>90.9</v>
      </c>
      <c r="E26" s="12">
        <f>VLOOKUP(A26,Dataset!A2:X40,20,0)</f>
        <v>183.5</v>
      </c>
      <c r="F26" s="8">
        <f>VLOOKUP(A26,Dataset!A2:X40,22,0)</f>
        <v>90.9</v>
      </c>
    </row>
    <row r="27" spans="1:6" ht="15" x14ac:dyDescent="0.25">
      <c r="A27" s="7" t="s">
        <v>39</v>
      </c>
      <c r="B27" s="12">
        <f>VLOOKUP(A27,Dataset!A2:X40,7,0)</f>
        <v>51.8</v>
      </c>
      <c r="C27" s="12">
        <f>VLOOKUP(A27,Dataset!A2:X40,14,0)</f>
        <v>156.4</v>
      </c>
      <c r="D27" s="12">
        <f>VLOOKUP(A27,Dataset!A2:X40,18,0)</f>
        <v>93.1</v>
      </c>
      <c r="E27" s="12">
        <f>VLOOKUP(A27,Dataset!A2:X40,20,0)</f>
        <v>188.1</v>
      </c>
      <c r="F27" s="8">
        <f>VLOOKUP(A27,Dataset!A2:X40,22,0)</f>
        <v>93.1</v>
      </c>
    </row>
    <row r="28" spans="1:6" ht="15" x14ac:dyDescent="0.25">
      <c r="A28" s="19" t="s">
        <v>82</v>
      </c>
      <c r="B28" s="31">
        <f xml:space="preserve"> MIN(B6:B27)</f>
        <v>-1</v>
      </c>
      <c r="C28" s="31">
        <f xml:space="preserve"> MIN(C6:C27)</f>
        <v>-1</v>
      </c>
      <c r="D28" s="31">
        <f xml:space="preserve"> MIN(D6:D27)</f>
        <v>-1</v>
      </c>
      <c r="E28" s="31">
        <f xml:space="preserve"> MIN(E6:E27)</f>
        <v>-1</v>
      </c>
      <c r="F28" s="31">
        <f xml:space="preserve"> 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49">
        <f xml:space="preserve"> AVERAGE(B6:B27)</f>
        <v>20.827272727272728</v>
      </c>
      <c r="C30" s="49">
        <f xml:space="preserve"> AVERAGE(C6:C27)</f>
        <v>62.377272727272725</v>
      </c>
      <c r="D30" s="49">
        <f xml:space="preserve"> AVERAGE(D6:D27)</f>
        <v>37.800000000000004</v>
      </c>
      <c r="E30" s="49">
        <f xml:space="preserve"> AVERAGE(E6:E27)</f>
        <v>76.418181818181822</v>
      </c>
      <c r="F30" s="49">
        <f xml:space="preserve"> 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D8" sqref="D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180</v>
      </c>
    </row>
    <row r="6" spans="1:10" ht="18.75" x14ac:dyDescent="0.3">
      <c r="A6" s="43" t="s">
        <v>153</v>
      </c>
      <c r="B6" s="40" t="s">
        <v>181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7" zoomScaleNormal="100" workbookViewId="0">
      <selection activeCell="B6" sqref="B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182</v>
      </c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20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 xml:space="preserve"> 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 xml:space="preserve"> VLOOKUP(VLOOKUP(B23,M10:N18,2,0), A10:J18,2,0)</f>
        <v>95</v>
      </c>
    </row>
    <row r="24" spans="1:14" ht="15" x14ac:dyDescent="0.25">
      <c r="A24" s="7">
        <v>10100</v>
      </c>
      <c r="B24" s="12">
        <v>10104</v>
      </c>
      <c r="C24" s="44">
        <f xml:space="preserve"> VLOOKUP(VLOOKUP(B24,M10:N18,2,0), A10:J18,2,0)</f>
        <v>-1</v>
      </c>
    </row>
    <row r="25" spans="1:14" ht="15" x14ac:dyDescent="0.25">
      <c r="A25" s="7">
        <v>10108</v>
      </c>
      <c r="B25" s="12">
        <v>10102</v>
      </c>
      <c r="C25" s="44">
        <f>VLOOKUP( VLOOKUP(B25,M10:N18,2,0), A10:J18,2,0)</f>
        <v>95</v>
      </c>
    </row>
    <row r="26" spans="1:14" ht="15" x14ac:dyDescent="0.25">
      <c r="A26" s="7">
        <v>10100</v>
      </c>
      <c r="B26" s="12">
        <v>10106</v>
      </c>
      <c r="C26" s="44">
        <f xml:space="preserve"> VLOOKUP( VLOOKUP(B26,M10:N18,2,0), A10:J18,2,0)</f>
        <v>185</v>
      </c>
    </row>
    <row r="27" spans="1:14" ht="15" x14ac:dyDescent="0.25">
      <c r="A27" s="7">
        <v>10108</v>
      </c>
      <c r="B27" s="12">
        <v>10110</v>
      </c>
      <c r="C27" s="44">
        <f xml:space="preserve"> VLOOKUP( VLOOKUP(B27,M10:N18,2,0), A10:J18,2,0)</f>
        <v>305</v>
      </c>
    </row>
    <row r="28" spans="1:14" ht="15" x14ac:dyDescent="0.25">
      <c r="A28" s="7">
        <v>10102</v>
      </c>
      <c r="B28" s="12">
        <v>10104</v>
      </c>
      <c r="C28" s="44">
        <f xml:space="preserve"> VLOOKUP( VLOOKUP(B28,M10:N18,2,0), A10:J18,2,0)</f>
        <v>-1</v>
      </c>
    </row>
    <row r="29" spans="1:14" ht="15" x14ac:dyDescent="0.25">
      <c r="A29" s="7">
        <v>10106</v>
      </c>
      <c r="B29" s="12">
        <v>10108</v>
      </c>
      <c r="C29" s="44">
        <f xml:space="preserve"> VLOOKUP( VLOOKUP(B29,M10:N18,2,0), A10:J18,2,0)</f>
        <v>255</v>
      </c>
    </row>
    <row r="30" spans="1:14" ht="15" x14ac:dyDescent="0.25">
      <c r="A30" s="7">
        <v>10102</v>
      </c>
      <c r="B30" s="12">
        <v>10106</v>
      </c>
      <c r="C30" s="44">
        <f xml:space="preserve"> VLOOKUP( VLOOKUP(B30,M10:N18,2,0), A10:J18,2,0)</f>
        <v>185</v>
      </c>
    </row>
    <row r="31" spans="1:14" ht="15" x14ac:dyDescent="0.25">
      <c r="A31" s="7">
        <v>10110</v>
      </c>
      <c r="B31" s="12">
        <v>10114</v>
      </c>
      <c r="C31" s="44">
        <f xml:space="preserve"> VLOOKUP( VLOOKUP(B31,M10:N18,2,0), A10:J18,2,0)</f>
        <v>480</v>
      </c>
    </row>
    <row r="32" spans="1:14" ht="15" x14ac:dyDescent="0.25">
      <c r="A32" s="7">
        <v>10104</v>
      </c>
      <c r="B32" s="12">
        <v>10106</v>
      </c>
      <c r="C32" s="44">
        <f xml:space="preserve"> VLOOKUP( VLOOKUP(B32,M10:N18,2,0), A10:J18,2,0)</f>
        <v>185</v>
      </c>
    </row>
    <row r="33" spans="1:3" ht="15" x14ac:dyDescent="0.25">
      <c r="A33" s="7">
        <v>10110</v>
      </c>
      <c r="B33" s="12">
        <v>10112</v>
      </c>
      <c r="C33" s="44">
        <f>VLOOKUP( VLOOKUP(B33,M10:N18,2,0), A10:J18,2,0)</f>
        <v>415</v>
      </c>
    </row>
    <row r="34" spans="1:3" ht="15" x14ac:dyDescent="0.25">
      <c r="A34" s="7">
        <v>10100</v>
      </c>
      <c r="B34" s="12">
        <v>10114</v>
      </c>
      <c r="C34" s="44">
        <f xml:space="preserve"> VLOOKUP( VLOOKUP(B34,M10:N18,2,0), A10:J18,2,0)</f>
        <v>480</v>
      </c>
    </row>
    <row r="35" spans="1:3" ht="15" x14ac:dyDescent="0.25">
      <c r="A35" s="9">
        <v>10112</v>
      </c>
      <c r="B35" s="13">
        <v>10116</v>
      </c>
      <c r="C35" s="45">
        <f xml:space="preserve"> VLOOKUP( VLOOKUP(B35,M10:N18,2,0), A10:J18,2,0)</f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Rakesh</cp:lastModifiedBy>
  <dcterms:created xsi:type="dcterms:W3CDTF">2015-02-10T17:33:11Z</dcterms:created>
  <dcterms:modified xsi:type="dcterms:W3CDTF">2024-10-24T08:15:20Z</dcterms:modified>
</cp:coreProperties>
</file>